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 RAVICHANDRAN\Desktop\EXCEL\"/>
    </mc:Choice>
  </mc:AlternateContent>
  <xr:revisionPtr revIDLastSave="0" documentId="8_{CF36A6F9-D3A3-419B-99BC-4CFE4836F83A}" xr6:coauthVersionLast="47" xr6:coauthVersionMax="47" xr10:uidLastSave="{00000000-0000-0000-0000-000000000000}"/>
  <bookViews>
    <workbookView xWindow="-108" yWindow="-108" windowWidth="23256" windowHeight="13896" activeTab="1" xr2:uid="{6ABF2B51-0191-4688-9F48-F159D1D0B10D}"/>
  </bookViews>
  <sheets>
    <sheet name="pivot table and chart" sheetId="2" r:id="rId1"/>
    <sheet name="Data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" l="1"/>
  <c r="D28" i="1"/>
  <c r="E28" i="1"/>
  <c r="F28" i="1"/>
  <c r="G28" i="1"/>
  <c r="H28" i="1"/>
  <c r="I28" i="1"/>
  <c r="J28" i="1"/>
  <c r="B28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5" i="1"/>
  <c r="K4" i="1"/>
</calcChain>
</file>

<file path=xl/sharedStrings.xml><?xml version="1.0" encoding="utf-8"?>
<sst xmlns="http://schemas.openxmlformats.org/spreadsheetml/2006/main" count="56" uniqueCount="32">
  <si>
    <t>Monthly Expenses Detail</t>
  </si>
  <si>
    <t>Savings</t>
  </si>
  <si>
    <t>Travel</t>
  </si>
  <si>
    <t>Zomato</t>
  </si>
  <si>
    <t>Cosmetics</t>
  </si>
  <si>
    <t>Shopping</t>
  </si>
  <si>
    <t>Grocery</t>
  </si>
  <si>
    <t>Rent</t>
  </si>
  <si>
    <t>Meesho</t>
  </si>
  <si>
    <t>Mobile Recharge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</si>
  <si>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</si>
  <si>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</si>
  <si>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</si>
  <si>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</si>
  <si>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</si>
  <si>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</si>
  <si>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</si>
  <si>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</si>
  <si>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</si>
  <si>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</si>
  <si>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</si>
  <si>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</si>
  <si>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</si>
  <si>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Salary</t>
  </si>
  <si>
    <t>Expenses</t>
  </si>
  <si>
    <t>Row Labels</t>
  </si>
  <si>
    <t>(blank)</t>
  </si>
  <si>
    <t>Grand Total</t>
  </si>
  <si>
    <t>Sum of Savings</t>
  </si>
  <si>
    <t>Sum of Grocery</t>
  </si>
  <si>
    <t>Sum of Shopping</t>
  </si>
  <si>
    <t>Sum of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</si>
</sst>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5" tint="-0.49998474074526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44" fontId="0" fillId="0" borderId="0" xfId="0" applyNumberFormat="1"/>
    <xf numFmtId="44" fontId="1" fillId="2" borderId="0" xfId="0" applyNumberFormat="1" applyFont="1" applyFill="1"/>
    <xf numFmtId="44" fontId="0" fillId="3" borderId="0" xfId="0" applyNumberFormat="1" applyFill="1"/>
    <xf numFmtId="14" fontId="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Expenses.xlsx]pivot table and chart!PivotTable1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'pivot table and chart'!$C$6</c:f>
              <c:strCache>
                <c:ptCount val="1"/>
                <c:pt idx="0">
                  <c:v>Sum of Savings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 and chart'!$B$7:$B$20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(blank)</c:v>
                </c:pt>
              </c:strCache>
            </c:strRef>
          </c:cat>
          <c:val>
            <c:numRef>
              <c:f>'pivot table and chart'!$C$7:$C$20</c:f>
              <c:numCache>
                <c:formatCode>_("₹"* #,##0.00_);_("₹"* \(#,##0.00\);_("₹"* "-"??_);_(@_)</c:formatCode>
                <c:ptCount val="13"/>
                <c:pt idx="0">
                  <c:v>25000</c:v>
                </c:pt>
                <c:pt idx="1">
                  <c:v>24000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209000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58-4F16-A38C-4CD8D04E19C7}"/>
            </c:ext>
          </c:extLst>
        </c:ser>
        <c:ser>
          <c:idx val="1"/>
          <c:order val="1"/>
          <c:tx>
            <c:strRef>
              <c:f>'pivot table and chart'!$D$6</c:f>
              <c:strCache>
                <c:ptCount val="1"/>
                <c:pt idx="0">
                  <c:v>Sum of Grocery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 and chart'!$B$7:$B$20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(blank)</c:v>
                </c:pt>
              </c:strCache>
            </c:strRef>
          </c:cat>
          <c:val>
            <c:numRef>
              <c:f>'pivot table and chart'!$D$7:$D$20</c:f>
              <c:numCache>
                <c:formatCode>_("₹"* #,##0.00_);_("₹"* \(#,##0.00\);_("₹"* "-"??_);_(@_)</c:formatCode>
                <c:ptCount val="13"/>
                <c:pt idx="0">
                  <c:v>10000</c:v>
                </c:pt>
                <c:pt idx="1">
                  <c:v>11000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121000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58-4F16-A38C-4CD8D04E19C7}"/>
            </c:ext>
          </c:extLst>
        </c:ser>
        <c:ser>
          <c:idx val="2"/>
          <c:order val="2"/>
          <c:tx>
            <c:strRef>
              <c:f>'pivot table and chart'!$E$6</c:f>
              <c:strCache>
                <c:ptCount val="1"/>
                <c:pt idx="0">
                  <c:v>Sum of Shopping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 and chart'!$B$7:$B$20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(blank)</c:v>
                </c:pt>
              </c:strCache>
            </c:strRef>
          </c:cat>
          <c:val>
            <c:numRef>
              <c:f>'pivot table and chart'!$E$7:$E$20</c:f>
              <c:numCache>
                <c:formatCode>_("₹"* #,##0.00_);_("₹"* \(#,##0.00\);_("₹"* "-"??_);_(@_)</c:formatCode>
                <c:ptCount val="13"/>
                <c:pt idx="0">
                  <c:v>15000</c:v>
                </c:pt>
                <c:pt idx="1">
                  <c:v>14000</c:v>
                </c:pt>
                <c:pt idx="2">
                  <c:v>20000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20000</c:v>
                </c:pt>
                <c:pt idx="7">
                  <c:v>20000</c:v>
                </c:pt>
                <c:pt idx="8">
                  <c:v>20000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  <c:pt idx="12">
                  <c:v>229000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58-4F16-A38C-4CD8D04E19C7}"/>
            </c:ext>
          </c:extLst>
        </c:ser>
        <c:ser>
          <c:idx val="3"/>
          <c:order val="3"/>
          <c:tx>
            <c:strRef>
              <c:f>'pivot table and chart'!$F$6</c:f>
              <c:strCache>
                <c:ptCount val="1"/>
                <c:pt idx="0">
                  <c:v>Sum of Travel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'pivot table and chart'!$B$7:$B$20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(blank)</c:v>
                </c:pt>
              </c:strCache>
            </c:strRef>
          </c:cat>
          <c:val>
            <c:numRef>
              <c:f>'pivot table and chart'!$F$7:$F$20</c:f>
              <c:numCache>
                <c:formatCode>_("₹"* #,##0.00_);_("₹"* \(#,##0.00\);_("₹"* "-"??_);_(@_)</c:formatCode>
                <c:ptCount val="13"/>
                <c:pt idx="0">
                  <c:v>20000</c:v>
                </c:pt>
                <c:pt idx="1">
                  <c:v>21000</c:v>
                </c:pt>
                <c:pt idx="2">
                  <c:v>20000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20000</c:v>
                </c:pt>
                <c:pt idx="7">
                  <c:v>20000</c:v>
                </c:pt>
                <c:pt idx="8">
                  <c:v>20000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  <c:pt idx="12">
                  <c:v>241000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58-4F16-A38C-4CD8D04E1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4133728"/>
        <c:axId val="530501680"/>
      </c:lineChart>
      <c:catAx>
        <c:axId val="534133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501680"/>
        <c:crosses val="autoZero"/>
        <c:auto val="1"/>
        <c:lblAlgn val="ctr"/>
        <c:lblOffset val="100"/>
        <c:noMultiLvlLbl val="0"/>
      </c:catAx>
      <c:valAx>
        <c:axId val="53050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13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144780</xdr:colOff>
      <xdr:row>4</xdr:row>
      <xdr:rowOff>179070</xdr:rowOff>
    </xdr:from>
    <xdr:to>
      <xdr:col>14</xdr:col>
      <xdr:colOff>449580</xdr:colOff>
      <xdr:row>19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AD060B-B1D2-D5AD-41B8-52158DF88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 RAVICHANDRAN" refreshedDate="46048.927560879631" createdVersion="8" refreshedVersion="8" minRefreshableVersion="3" recordCount="25" xr:uid="{66C82DB1-8DB9-4E2F-B84B-21BECFDBCABB}">
  <cacheSource type="worksheet">
    <worksheetSource ref="A3:L28" sheet="Datas"/>
  </cacheSource>
  <cacheFields count="12">
    <cacheField name="Month" numFmtId="0">
      <sharedItems containsBlank="1" count="13">
        <s v="Jan"/>
        <s v="Feb"/>
        <s v="Mar"/>
        <s v="Apr"/>
        <s v="May"/>
        <s v="Jun"/>
        <s v="Jul"/>
        <s v="Aug"/>
        <s v="Sep"/>
        <s v="Oct"/>
        <s v="Nov"/>
        <s v="Dec"/>
        <m/>
      </sharedItems>
    </cacheField>
    <cacheField name="Savings" numFmtId="44">
      <sharedItems containsSemiMixedTypes="0" containsString="0" containsNumber="1" containsInteger="1" minValue="8000" maxValue="209000"/>
    </cacheField>
    <cacheField name="Travel" numFmtId="44">
      <sharedItems containsSemiMixedTypes="0" containsString="0" containsNumber="1" containsInteger="1" minValue="10000" maxValue="241000"/>
    </cacheField>
    <cacheField name="Zomato" numFmtId="44">
      <sharedItems containsSemiMixedTypes="0" containsString="0" containsNumber="1" containsInteger="1" minValue="500" maxValue="111500"/>
    </cacheField>
    <cacheField name="Cosmetics" numFmtId="44">
      <sharedItems containsSemiMixedTypes="0" containsString="0" containsNumber="1" containsInteger="1" minValue="5000" maxValue="120500"/>
    </cacheField>
    <cacheField name="Shopping" numFmtId="44">
      <sharedItems containsSemiMixedTypes="0" containsString="0" containsNumber="1" containsInteger="1" minValue="4000" maxValue="229000"/>
    </cacheField>
    <cacheField name="Grocery" numFmtId="44">
      <sharedItems containsSemiMixedTypes="0" containsString="0" containsNumber="1" containsInteger="1" minValue="5000" maxValue="121000"/>
    </cacheField>
    <cacheField name="Rent" numFmtId="44">
      <sharedItems containsSemiMixedTypes="0" containsString="0" containsNumber="1" containsInteger="1" minValue="6000" maxValue="144000"/>
    </cacheField>
    <cacheField name="Meesho" numFmtId="44">
      <sharedItems containsSemiMixedTypes="0" containsString="0" containsNumber="1" containsInteger="1" minValue="600" maxValue="14400"/>
    </cacheField>
    <cacheField name="Mobile Recharge" numFmtId="44">
      <sharedItems containsSemiMixedTypes="0" containsString="0" containsNumber="1" containsInteger="1" minValue="400" maxValue="9600"/>
    </cacheField>
    <cacheField name="Expenses" numFmtId="0">
      <sharedItems containsString="0" containsBlank="1" containsNumber="1" containsInteger="1" minValue="33000" maxValue="42000"/>
    </cacheField>
    <cacheField name="Salary" numFmtId="0">
      <sharedItems containsString="0" containsBlank="1" containsNumber="1" containsInteger="1" minValue="50000" maxValue="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n v="17000"/>
    <n v="10000"/>
    <n v="1000"/>
    <n v="5000"/>
    <n v="5000"/>
    <n v="5000"/>
    <n v="6000"/>
    <n v="600"/>
    <n v="400"/>
    <n v="33000"/>
    <n v="50000"/>
  </r>
  <r>
    <x v="1"/>
    <n v="16000"/>
    <n v="11000"/>
    <n v="500"/>
    <n v="5500"/>
    <n v="4000"/>
    <n v="6000"/>
    <n v="6000"/>
    <n v="600"/>
    <n v="400"/>
    <n v="34000"/>
    <n v="50000"/>
  </r>
  <r>
    <x v="2"/>
    <n v="8000"/>
    <n v="10000"/>
    <n v="5000"/>
    <n v="5000"/>
    <n v="10000"/>
    <n v="5000"/>
    <n v="6000"/>
    <n v="600"/>
    <n v="400"/>
    <n v="42000"/>
    <n v="50000"/>
  </r>
  <r>
    <x v="3"/>
    <n v="8000"/>
    <n v="10000"/>
    <n v="5000"/>
    <n v="5000"/>
    <n v="10000"/>
    <n v="5000"/>
    <n v="6000"/>
    <n v="600"/>
    <n v="400"/>
    <n v="42000"/>
    <n v="50000"/>
  </r>
  <r>
    <x v="4"/>
    <n v="8000"/>
    <n v="10000"/>
    <n v="5000"/>
    <n v="5000"/>
    <n v="10000"/>
    <n v="5000"/>
    <n v="6000"/>
    <n v="600"/>
    <n v="400"/>
    <n v="42000"/>
    <n v="50000"/>
  </r>
  <r>
    <x v="5"/>
    <n v="8000"/>
    <n v="10000"/>
    <n v="5000"/>
    <n v="5000"/>
    <n v="10000"/>
    <n v="5000"/>
    <n v="6000"/>
    <n v="600"/>
    <n v="400"/>
    <n v="42000"/>
    <n v="50000"/>
  </r>
  <r>
    <x v="6"/>
    <n v="8000"/>
    <n v="10000"/>
    <n v="5000"/>
    <n v="5000"/>
    <n v="10000"/>
    <n v="5000"/>
    <n v="6000"/>
    <n v="600"/>
    <n v="400"/>
    <n v="42000"/>
    <n v="50000"/>
  </r>
  <r>
    <x v="7"/>
    <n v="8000"/>
    <n v="10000"/>
    <n v="5000"/>
    <n v="5000"/>
    <n v="10000"/>
    <n v="5000"/>
    <n v="6000"/>
    <n v="600"/>
    <n v="400"/>
    <n v="42000"/>
    <n v="50000"/>
  </r>
  <r>
    <x v="8"/>
    <n v="8000"/>
    <n v="10000"/>
    <n v="5000"/>
    <n v="5000"/>
    <n v="10000"/>
    <n v="5000"/>
    <n v="6000"/>
    <n v="600"/>
    <n v="400"/>
    <n v="42000"/>
    <n v="50000"/>
  </r>
  <r>
    <x v="9"/>
    <n v="8000"/>
    <n v="10000"/>
    <n v="5000"/>
    <n v="5000"/>
    <n v="10000"/>
    <n v="5000"/>
    <n v="6000"/>
    <n v="600"/>
    <n v="400"/>
    <n v="42000"/>
    <n v="50000"/>
  </r>
  <r>
    <x v="10"/>
    <n v="8000"/>
    <n v="10000"/>
    <n v="5000"/>
    <n v="5000"/>
    <n v="10000"/>
    <n v="5000"/>
    <n v="6000"/>
    <n v="600"/>
    <n v="400"/>
    <n v="42000"/>
    <n v="50000"/>
  </r>
  <r>
    <x v="11"/>
    <n v="8000"/>
    <n v="10000"/>
    <n v="5000"/>
    <n v="5000"/>
    <n v="10000"/>
    <n v="5000"/>
    <n v="6000"/>
    <n v="600"/>
    <n v="400"/>
    <n v="42000"/>
    <n v="50000"/>
  </r>
  <r>
    <x v="0"/>
    <n v="8000"/>
    <n v="10000"/>
    <n v="5000"/>
    <n v="5000"/>
    <n v="10000"/>
    <n v="5000"/>
    <n v="6000"/>
    <n v="600"/>
    <n v="400"/>
    <n v="42000"/>
    <n v="50000"/>
  </r>
  <r>
    <x v="1"/>
    <n v="8000"/>
    <n v="10000"/>
    <n v="5000"/>
    <n v="5000"/>
    <n v="10000"/>
    <n v="5000"/>
    <n v="6000"/>
    <n v="600"/>
    <n v="400"/>
    <n v="42000"/>
    <n v="50000"/>
  </r>
  <r>
    <x v="2"/>
    <n v="8000"/>
    <n v="10000"/>
    <n v="5000"/>
    <n v="5000"/>
    <n v="10000"/>
    <n v="5000"/>
    <n v="6000"/>
    <n v="600"/>
    <n v="400"/>
    <n v="42000"/>
    <n v="50000"/>
  </r>
  <r>
    <x v="3"/>
    <n v="8000"/>
    <n v="10000"/>
    <n v="5000"/>
    <n v="5000"/>
    <n v="10000"/>
    <n v="5000"/>
    <n v="6000"/>
    <n v="600"/>
    <n v="400"/>
    <n v="42000"/>
    <n v="50000"/>
  </r>
  <r>
    <x v="4"/>
    <n v="8000"/>
    <n v="10000"/>
    <n v="5000"/>
    <n v="5000"/>
    <n v="10000"/>
    <n v="5000"/>
    <n v="6000"/>
    <n v="600"/>
    <n v="400"/>
    <n v="42000"/>
    <n v="50000"/>
  </r>
  <r>
    <x v="5"/>
    <n v="8000"/>
    <n v="10000"/>
    <n v="5000"/>
    <n v="5000"/>
    <n v="10000"/>
    <n v="5000"/>
    <n v="6000"/>
    <n v="600"/>
    <n v="400"/>
    <n v="42000"/>
    <n v="50000"/>
  </r>
  <r>
    <x v="6"/>
    <n v="8000"/>
    <n v="10000"/>
    <n v="5000"/>
    <n v="5000"/>
    <n v="10000"/>
    <n v="5000"/>
    <n v="6000"/>
    <n v="600"/>
    <n v="400"/>
    <n v="42000"/>
    <n v="50000"/>
  </r>
  <r>
    <x v="7"/>
    <n v="8000"/>
    <n v="10000"/>
    <n v="5000"/>
    <n v="5000"/>
    <n v="10000"/>
    <n v="5000"/>
    <n v="6000"/>
    <n v="600"/>
    <n v="400"/>
    <n v="42000"/>
    <n v="50000"/>
  </r>
  <r>
    <x v="8"/>
    <n v="8000"/>
    <n v="10000"/>
    <n v="5000"/>
    <n v="5000"/>
    <n v="10000"/>
    <n v="5000"/>
    <n v="6000"/>
    <n v="600"/>
    <n v="400"/>
    <n v="42000"/>
    <n v="50000"/>
  </r>
  <r>
    <x v="9"/>
    <n v="8000"/>
    <n v="10000"/>
    <n v="5000"/>
    <n v="5000"/>
    <n v="10000"/>
    <n v="5000"/>
    <n v="6000"/>
    <n v="600"/>
    <n v="400"/>
    <n v="42000"/>
    <n v="50000"/>
  </r>
  <r>
    <x v="10"/>
    <n v="8000"/>
    <n v="10000"/>
    <n v="5000"/>
    <n v="5000"/>
    <n v="10000"/>
    <n v="5000"/>
    <n v="6000"/>
    <n v="600"/>
    <n v="400"/>
    <n v="42000"/>
    <n v="50000"/>
  </r>
  <r>
    <x v="11"/>
    <n v="8000"/>
    <n v="10000"/>
    <n v="5000"/>
    <n v="5000"/>
    <n v="10000"/>
    <n v="5000"/>
    <n v="6000"/>
    <n v="600"/>
    <n v="400"/>
    <n v="42000"/>
    <n v="50000"/>
  </r>
  <r>
    <x v="12"/>
    <n v="209000"/>
    <n v="241000"/>
    <n v="111500"/>
    <n v="120500"/>
    <n v="229000"/>
    <n v="121000"/>
    <n v="144000"/>
    <n v="14400"/>
    <n v="960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DE0A4-999B-4A57-AF24-6898E9824A3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6:F20" firstHeaderRow="0" firstDataRow="1" firstDataCol="1"/>
  <pivotFields count="12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numFmtId="44" showAll="0"/>
    <pivotField dataField="1" numFmtId="44" showAll="0"/>
    <pivotField numFmtId="44" showAll="0"/>
    <pivotField numFmtId="44" showAll="0"/>
    <pivotField dataField="1" numFmtId="44" showAll="0"/>
    <pivotField dataField="1" numFmtId="44" showAll="0"/>
    <pivotField numFmtId="44" showAll="0"/>
    <pivotField numFmtId="44" showAll="0"/>
    <pivotField numFmtId="44" showAll="0"/>
    <pivotField showAll="0"/>
    <pivotField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vings" fld="1" baseField="0" baseItem="0" numFmtId="44"/>
    <dataField name="Sum of Grocery" fld="6" baseField="0" baseItem="0" numFmtId="44"/>
    <dataField name="Sum of Shopping" fld="5" baseField="0" baseItem="0" numFmtId="44"/>
    <dataField name="Sum of Travel" fld="2" baseField="0" baseItem="0" numFmtId="4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FEF9D-82FF-466C-B034-6749B592E252}">
  <dimension ref="B6:F20"/>
  <sheetViews>
    <sheetView workbookViewId="0">
      <selection activeCell="C42" sqref="C42"/>
    </sheetView>
  </sheetViews>
  <sheetFormatPr defaultRowHeight="14.4" x14ac:dyDescent="0.3"/>
  <cols>
    <col min="1" max="1" width="12.5546875" bestFit="1" customWidth="1"/>
    <col min="2" max="2" width="13.88671875" bestFit="1" customWidth="1"/>
    <col min="3" max="3" width="14.109375" bestFit="1" customWidth="1"/>
    <col min="4" max="4" width="15.5546875" bestFit="1" customWidth="1"/>
    <col min="5" max="5" width="13.109375" bestFit="1" customWidth="1"/>
    <col min="6" max="6" width="13.5546875" customWidth="1"/>
  </cols>
  <sheetData>
    <row r="6" spans="2:6" x14ac:dyDescent="0.3">
      <c r="B6" s="8" t="s">
        <v>25</v>
      </c>
      <c r="C6" t="s">
        <v>28</v>
      </c>
      <c r="D6" t="s">
        <v>29</v>
      </c>
      <c r="E6" t="s">
        <v>30</v>
      </c>
      <c r="F6" t="s">
        <v>31</v>
      </c>
    </row>
    <row r="7" spans="2:6" x14ac:dyDescent="0.3">
      <c r="B7" s="9" t="s">
        <v>11</v>
      </c>
      <c r="C7" s="4">
        <v>25000</v>
      </c>
      <c r="D7" s="4">
        <v>10000</v>
      </c>
      <c r="E7" s="4">
        <v>15000</v>
      </c>
      <c r="F7" s="4">
        <v>20000</v>
      </c>
    </row>
    <row r="8" spans="2:6" x14ac:dyDescent="0.3">
      <c r="B8" s="9" t="s">
        <v>12</v>
      </c>
      <c r="C8" s="4">
        <v>24000</v>
      </c>
      <c r="D8" s="4">
        <v>11000</v>
      </c>
      <c r="E8" s="4">
        <v>14000</v>
      </c>
      <c r="F8" s="4">
        <v>21000</v>
      </c>
    </row>
    <row r="9" spans="2:6" x14ac:dyDescent="0.3">
      <c r="B9" s="9" t="s">
        <v>13</v>
      </c>
      <c r="C9" s="4">
        <v>16000</v>
      </c>
      <c r="D9" s="4">
        <v>10000</v>
      </c>
      <c r="E9" s="4">
        <v>20000</v>
      </c>
      <c r="F9" s="4">
        <v>20000</v>
      </c>
    </row>
    <row r="10" spans="2:6" x14ac:dyDescent="0.3">
      <c r="B10" s="9" t="s">
        <v>14</v>
      </c>
      <c r="C10" s="4">
        <v>16000</v>
      </c>
      <c r="D10" s="4">
        <v>10000</v>
      </c>
      <c r="E10" s="4">
        <v>20000</v>
      </c>
      <c r="F10" s="4">
        <v>20000</v>
      </c>
    </row>
    <row r="11" spans="2:6" x14ac:dyDescent="0.3">
      <c r="B11" s="9" t="s">
        <v>15</v>
      </c>
      <c r="C11" s="4">
        <v>16000</v>
      </c>
      <c r="D11" s="4">
        <v>10000</v>
      </c>
      <c r="E11" s="4">
        <v>20000</v>
      </c>
      <c r="F11" s="4">
        <v>20000</v>
      </c>
    </row>
    <row r="12" spans="2:6" x14ac:dyDescent="0.3">
      <c r="B12" s="9" t="s">
        <v>16</v>
      </c>
      <c r="C12" s="4">
        <v>16000</v>
      </c>
      <c r="D12" s="4">
        <v>10000</v>
      </c>
      <c r="E12" s="4">
        <v>20000</v>
      </c>
      <c r="F12" s="4">
        <v>20000</v>
      </c>
    </row>
    <row r="13" spans="2:6" x14ac:dyDescent="0.3">
      <c r="B13" s="9" t="s">
        <v>17</v>
      </c>
      <c r="C13" s="4">
        <v>16000</v>
      </c>
      <c r="D13" s="4">
        <v>10000</v>
      </c>
      <c r="E13" s="4">
        <v>20000</v>
      </c>
      <c r="F13" s="4">
        <v>20000</v>
      </c>
    </row>
    <row r="14" spans="2:6" x14ac:dyDescent="0.3">
      <c r="B14" s="9" t="s">
        <v>18</v>
      </c>
      <c r="C14" s="4">
        <v>16000</v>
      </c>
      <c r="D14" s="4">
        <v>10000</v>
      </c>
      <c r="E14" s="4">
        <v>20000</v>
      </c>
      <c r="F14" s="4">
        <v>20000</v>
      </c>
    </row>
    <row r="15" spans="2:6" x14ac:dyDescent="0.3">
      <c r="B15" s="9" t="s">
        <v>19</v>
      </c>
      <c r="C15" s="4">
        <v>16000</v>
      </c>
      <c r="D15" s="4">
        <v>10000</v>
      </c>
      <c r="E15" s="4">
        <v>20000</v>
      </c>
      <c r="F15" s="4">
        <v>20000</v>
      </c>
    </row>
    <row r="16" spans="2:6" x14ac:dyDescent="0.3">
      <c r="B16" s="9" t="s">
        <v>20</v>
      </c>
      <c r="C16" s="4">
        <v>16000</v>
      </c>
      <c r="D16" s="4">
        <v>10000</v>
      </c>
      <c r="E16" s="4">
        <v>20000</v>
      </c>
      <c r="F16" s="4">
        <v>20000</v>
      </c>
    </row>
    <row r="17" spans="2:6" x14ac:dyDescent="0.3">
      <c r="B17" s="9" t="s">
        <v>21</v>
      </c>
      <c r="C17" s="4">
        <v>16000</v>
      </c>
      <c r="D17" s="4">
        <v>10000</v>
      </c>
      <c r="E17" s="4">
        <v>20000</v>
      </c>
      <c r="F17" s="4">
        <v>20000</v>
      </c>
    </row>
    <row r="18" spans="2:6" x14ac:dyDescent="0.3">
      <c r="B18" s="9" t="s">
        <v>22</v>
      </c>
      <c r="C18" s="4">
        <v>16000</v>
      </c>
      <c r="D18" s="4">
        <v>10000</v>
      </c>
      <c r="E18" s="4">
        <v>20000</v>
      </c>
      <c r="F18" s="4">
        <v>20000</v>
      </c>
    </row>
    <row r="19" spans="2:6" x14ac:dyDescent="0.3">
      <c r="B19" s="9" t="s">
        <v>26</v>
      </c>
      <c r="C19" s="4">
        <v>209000</v>
      </c>
      <c r="D19" s="4">
        <v>121000</v>
      </c>
      <c r="E19" s="4">
        <v>229000</v>
      </c>
      <c r="F19" s="4">
        <v>241000</v>
      </c>
    </row>
    <row r="20" spans="2:6" x14ac:dyDescent="0.3">
      <c r="B20" s="9" t="s">
        <v>27</v>
      </c>
      <c r="C20" s="4">
        <v>418000</v>
      </c>
      <c r="D20" s="4">
        <v>242000</v>
      </c>
      <c r="E20" s="4">
        <v>458000</v>
      </c>
      <c r="F20" s="4">
        <v>482000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740E-644D-4F5B-9B4F-F4E7AFB2090D}">
  <dimension ref="A1:M28"/>
  <sheetViews>
    <sheetView tabSelected="1" workbookViewId="0">
      <selection activeCell="L29" sqref="L29"/>
    </sheetView>
  </sheetViews>
  <sheetFormatPr defaultRowHeight="14.4" x14ac:dyDescent="0.3"/>
  <cols>
    <col min="1" max="1" width="11.109375" customWidth="1"/>
    <col min="2" max="2" width="15.5546875" customWidth="1"/>
    <col min="3" max="3" width="16.44140625" customWidth="1"/>
    <col min="4" max="4" width="14.33203125" customWidth="1"/>
    <col min="5" max="5" width="16" customWidth="1"/>
    <col min="6" max="6" width="13.21875" customWidth="1"/>
    <col min="7" max="7" width="13" customWidth="1"/>
    <col min="8" max="8" width="17.5546875" customWidth="1"/>
    <col min="9" max="9" width="13.109375" customWidth="1"/>
    <col min="10" max="10" width="17.6640625" customWidth="1"/>
    <col min="11" max="11" width="11.33203125" bestFit="1" customWidth="1"/>
    <col min="12" max="12" width="11.33203125" customWidth="1"/>
  </cols>
  <sheetData>
    <row r="1" spans="1:13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3">
      <c r="G2" s="1"/>
      <c r="H2" s="1"/>
      <c r="I2" s="1"/>
      <c r="J2" s="1"/>
      <c r="K2" s="1"/>
      <c r="L2" s="1"/>
      <c r="M2" s="1"/>
    </row>
    <row r="3" spans="1:13" x14ac:dyDescent="0.3">
      <c r="A3" s="1" t="s">
        <v>10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24</v>
      </c>
      <c r="L3" s="2" t="s">
        <v>23</v>
      </c>
    </row>
    <row r="4" spans="1:13" x14ac:dyDescent="0.3">
      <c r="A4" s="7" t="s">
        <v>11</v>
      </c>
      <c r="B4" s="4">
        <v>17000</v>
      </c>
      <c r="C4" s="4">
        <v>10000</v>
      </c>
      <c r="D4" s="4">
        <v>1000</v>
      </c>
      <c r="E4" s="4">
        <v>5000</v>
      </c>
      <c r="F4" s="4">
        <v>5000</v>
      </c>
      <c r="G4" s="4">
        <v>5000</v>
      </c>
      <c r="H4" s="4">
        <v>6000</v>
      </c>
      <c r="I4" s="4">
        <v>600</v>
      </c>
      <c r="J4" s="4">
        <v>400</v>
      </c>
      <c r="K4" s="4">
        <f>SUM(C4:J4)</f>
        <v>33000</v>
      </c>
      <c r="L4" s="3">
        <v>50000</v>
      </c>
    </row>
    <row r="5" spans="1:13" x14ac:dyDescent="0.3">
      <c r="A5" s="7" t="s">
        <v>12</v>
      </c>
      <c r="B5" s="4">
        <v>16000</v>
      </c>
      <c r="C5" s="4">
        <v>11000</v>
      </c>
      <c r="D5" s="4">
        <v>500</v>
      </c>
      <c r="E5" s="4">
        <v>5500</v>
      </c>
      <c r="F5" s="4">
        <v>4000</v>
      </c>
      <c r="G5" s="4">
        <v>6000</v>
      </c>
      <c r="H5" s="4">
        <v>6000</v>
      </c>
      <c r="I5" s="4">
        <v>600</v>
      </c>
      <c r="J5" s="4">
        <v>400</v>
      </c>
      <c r="K5" s="4">
        <f>SUM(C5:J5)</f>
        <v>34000</v>
      </c>
      <c r="L5" s="3">
        <v>50000</v>
      </c>
    </row>
    <row r="6" spans="1:13" x14ac:dyDescent="0.3">
      <c r="A6" s="7" t="s">
        <v>13</v>
      </c>
      <c r="B6" s="4">
        <v>8000</v>
      </c>
      <c r="C6" s="4">
        <v>10000</v>
      </c>
      <c r="D6" s="4">
        <v>5000</v>
      </c>
      <c r="E6" s="4">
        <v>5000</v>
      </c>
      <c r="F6" s="4">
        <v>10000</v>
      </c>
      <c r="G6" s="4">
        <v>5000</v>
      </c>
      <c r="H6" s="4">
        <v>6000</v>
      </c>
      <c r="I6" s="4">
        <v>600</v>
      </c>
      <c r="J6" s="4">
        <v>400</v>
      </c>
      <c r="K6" s="4">
        <f t="shared" ref="K6:K27" si="0">SUM(C6:J6)</f>
        <v>42000</v>
      </c>
      <c r="L6" s="3">
        <v>50000</v>
      </c>
    </row>
    <row r="7" spans="1:13" x14ac:dyDescent="0.3">
      <c r="A7" s="7" t="s">
        <v>14</v>
      </c>
      <c r="B7" s="4">
        <v>8000</v>
      </c>
      <c r="C7" s="4">
        <v>10000</v>
      </c>
      <c r="D7" s="4">
        <v>5000</v>
      </c>
      <c r="E7" s="4">
        <v>5000</v>
      </c>
      <c r="F7" s="4">
        <v>10000</v>
      </c>
      <c r="G7" s="4">
        <v>5000</v>
      </c>
      <c r="H7" s="4">
        <v>6000</v>
      </c>
      <c r="I7" s="4">
        <v>600</v>
      </c>
      <c r="J7" s="4">
        <v>400</v>
      </c>
      <c r="K7" s="4">
        <f t="shared" si="0"/>
        <v>42000</v>
      </c>
      <c r="L7" s="3">
        <v>50000</v>
      </c>
    </row>
    <row r="8" spans="1:13" x14ac:dyDescent="0.3">
      <c r="A8" s="7" t="s">
        <v>15</v>
      </c>
      <c r="B8" s="4">
        <v>8000</v>
      </c>
      <c r="C8" s="4">
        <v>10000</v>
      </c>
      <c r="D8" s="4">
        <v>5000</v>
      </c>
      <c r="E8" s="4">
        <v>5000</v>
      </c>
      <c r="F8" s="4">
        <v>10000</v>
      </c>
      <c r="G8" s="4">
        <v>5000</v>
      </c>
      <c r="H8" s="4">
        <v>6000</v>
      </c>
      <c r="I8" s="4">
        <v>600</v>
      </c>
      <c r="J8" s="4">
        <v>400</v>
      </c>
      <c r="K8" s="4">
        <f t="shared" si="0"/>
        <v>42000</v>
      </c>
      <c r="L8" s="3">
        <v>50000</v>
      </c>
    </row>
    <row r="9" spans="1:13" x14ac:dyDescent="0.3">
      <c r="A9" s="7" t="s">
        <v>16</v>
      </c>
      <c r="B9" s="4">
        <v>8000</v>
      </c>
      <c r="C9" s="4">
        <v>10000</v>
      </c>
      <c r="D9" s="4">
        <v>5000</v>
      </c>
      <c r="E9" s="4">
        <v>5000</v>
      </c>
      <c r="F9" s="4">
        <v>10000</v>
      </c>
      <c r="G9" s="4">
        <v>5000</v>
      </c>
      <c r="H9" s="4">
        <v>6000</v>
      </c>
      <c r="I9" s="4">
        <v>600</v>
      </c>
      <c r="J9" s="4">
        <v>400</v>
      </c>
      <c r="K9" s="4">
        <f t="shared" si="0"/>
        <v>42000</v>
      </c>
      <c r="L9" s="3">
        <v>50000</v>
      </c>
    </row>
    <row r="10" spans="1:13" x14ac:dyDescent="0.3">
      <c r="A10" s="7" t="s">
        <v>17</v>
      </c>
      <c r="B10" s="4">
        <v>8000</v>
      </c>
      <c r="C10" s="4">
        <v>10000</v>
      </c>
      <c r="D10" s="4">
        <v>5000</v>
      </c>
      <c r="E10" s="4">
        <v>5000</v>
      </c>
      <c r="F10" s="4">
        <v>10000</v>
      </c>
      <c r="G10" s="4">
        <v>5000</v>
      </c>
      <c r="H10" s="4">
        <v>6000</v>
      </c>
      <c r="I10" s="4">
        <v>600</v>
      </c>
      <c r="J10" s="4">
        <v>400</v>
      </c>
      <c r="K10" s="4">
        <f t="shared" si="0"/>
        <v>42000</v>
      </c>
      <c r="L10" s="3">
        <v>50000</v>
      </c>
    </row>
    <row r="11" spans="1:13" x14ac:dyDescent="0.3">
      <c r="A11" s="7" t="s">
        <v>18</v>
      </c>
      <c r="B11" s="4">
        <v>8000</v>
      </c>
      <c r="C11" s="4">
        <v>10000</v>
      </c>
      <c r="D11" s="4">
        <v>5000</v>
      </c>
      <c r="E11" s="4">
        <v>5000</v>
      </c>
      <c r="F11" s="4">
        <v>10000</v>
      </c>
      <c r="G11" s="4">
        <v>5000</v>
      </c>
      <c r="H11" s="4">
        <v>6000</v>
      </c>
      <c r="I11" s="4">
        <v>600</v>
      </c>
      <c r="J11" s="4">
        <v>400</v>
      </c>
      <c r="K11" s="4">
        <f t="shared" si="0"/>
        <v>42000</v>
      </c>
      <c r="L11" s="3">
        <v>50000</v>
      </c>
    </row>
    <row r="12" spans="1:13" x14ac:dyDescent="0.3">
      <c r="A12" s="7" t="s">
        <v>19</v>
      </c>
      <c r="B12" s="4">
        <v>8000</v>
      </c>
      <c r="C12" s="4">
        <v>10000</v>
      </c>
      <c r="D12" s="4">
        <v>5000</v>
      </c>
      <c r="E12" s="4">
        <v>5000</v>
      </c>
      <c r="F12" s="4">
        <v>10000</v>
      </c>
      <c r="G12" s="4">
        <v>5000</v>
      </c>
      <c r="H12" s="4">
        <v>6000</v>
      </c>
      <c r="I12" s="4">
        <v>600</v>
      </c>
      <c r="J12" s="4">
        <v>400</v>
      </c>
      <c r="K12" s="4">
        <f t="shared" si="0"/>
        <v>42000</v>
      </c>
      <c r="L12" s="3">
        <v>50000</v>
      </c>
    </row>
    <row r="13" spans="1:13" x14ac:dyDescent="0.3">
      <c r="A13" s="7" t="s">
        <v>20</v>
      </c>
      <c r="B13" s="4">
        <v>8000</v>
      </c>
      <c r="C13" s="4">
        <v>10000</v>
      </c>
      <c r="D13" s="4">
        <v>5000</v>
      </c>
      <c r="E13" s="4">
        <v>5000</v>
      </c>
      <c r="F13" s="4">
        <v>10000</v>
      </c>
      <c r="G13" s="4">
        <v>5000</v>
      </c>
      <c r="H13" s="4">
        <v>6000</v>
      </c>
      <c r="I13" s="4">
        <v>600</v>
      </c>
      <c r="J13" s="4">
        <v>400</v>
      </c>
      <c r="K13" s="4">
        <f t="shared" si="0"/>
        <v>42000</v>
      </c>
      <c r="L13" s="3">
        <v>50000</v>
      </c>
    </row>
    <row r="14" spans="1:13" x14ac:dyDescent="0.3">
      <c r="A14" s="7" t="s">
        <v>21</v>
      </c>
      <c r="B14" s="4">
        <v>8000</v>
      </c>
      <c r="C14" s="4">
        <v>10000</v>
      </c>
      <c r="D14" s="4">
        <v>5000</v>
      </c>
      <c r="E14" s="4">
        <v>5000</v>
      </c>
      <c r="F14" s="4">
        <v>10000</v>
      </c>
      <c r="G14" s="4">
        <v>5000</v>
      </c>
      <c r="H14" s="4">
        <v>6000</v>
      </c>
      <c r="I14" s="4">
        <v>600</v>
      </c>
      <c r="J14" s="4">
        <v>400</v>
      </c>
      <c r="K14" s="4">
        <f t="shared" si="0"/>
        <v>42000</v>
      </c>
      <c r="L14" s="3">
        <v>50000</v>
      </c>
    </row>
    <row r="15" spans="1:13" x14ac:dyDescent="0.3">
      <c r="A15" s="7" t="s">
        <v>22</v>
      </c>
      <c r="B15" s="4">
        <v>8000</v>
      </c>
      <c r="C15" s="4">
        <v>10000</v>
      </c>
      <c r="D15" s="4">
        <v>5000</v>
      </c>
      <c r="E15" s="4">
        <v>5000</v>
      </c>
      <c r="F15" s="4">
        <v>10000</v>
      </c>
      <c r="G15" s="4">
        <v>5000</v>
      </c>
      <c r="H15" s="4">
        <v>6000</v>
      </c>
      <c r="I15" s="4">
        <v>600</v>
      </c>
      <c r="J15" s="4">
        <v>400</v>
      </c>
      <c r="K15" s="4">
        <f t="shared" si="0"/>
        <v>42000</v>
      </c>
      <c r="L15" s="3">
        <v>50000</v>
      </c>
    </row>
    <row r="16" spans="1:13" x14ac:dyDescent="0.3">
      <c r="A16" s="7" t="s">
        <v>11</v>
      </c>
      <c r="B16" s="4">
        <v>8000</v>
      </c>
      <c r="C16" s="4">
        <v>10000</v>
      </c>
      <c r="D16" s="4">
        <v>5000</v>
      </c>
      <c r="E16" s="4">
        <v>5000</v>
      </c>
      <c r="F16" s="4">
        <v>10000</v>
      </c>
      <c r="G16" s="4">
        <v>5000</v>
      </c>
      <c r="H16" s="4">
        <v>6000</v>
      </c>
      <c r="I16" s="4">
        <v>600</v>
      </c>
      <c r="J16" s="4">
        <v>400</v>
      </c>
      <c r="K16" s="4">
        <f t="shared" si="0"/>
        <v>42000</v>
      </c>
      <c r="L16" s="3">
        <v>50000</v>
      </c>
    </row>
    <row r="17" spans="1:12" x14ac:dyDescent="0.3">
      <c r="A17" s="7" t="s">
        <v>12</v>
      </c>
      <c r="B17" s="4">
        <v>8000</v>
      </c>
      <c r="C17" s="4">
        <v>10000</v>
      </c>
      <c r="D17" s="4">
        <v>5000</v>
      </c>
      <c r="E17" s="4">
        <v>5000</v>
      </c>
      <c r="F17" s="4">
        <v>10000</v>
      </c>
      <c r="G17" s="4">
        <v>5000</v>
      </c>
      <c r="H17" s="4">
        <v>6000</v>
      </c>
      <c r="I17" s="4">
        <v>600</v>
      </c>
      <c r="J17" s="4">
        <v>400</v>
      </c>
      <c r="K17" s="4">
        <f t="shared" si="0"/>
        <v>42000</v>
      </c>
      <c r="L17" s="3">
        <v>50000</v>
      </c>
    </row>
    <row r="18" spans="1:12" x14ac:dyDescent="0.3">
      <c r="A18" s="7" t="s">
        <v>13</v>
      </c>
      <c r="B18" s="4">
        <v>8000</v>
      </c>
      <c r="C18" s="4">
        <v>10000</v>
      </c>
      <c r="D18" s="4">
        <v>5000</v>
      </c>
      <c r="E18" s="4">
        <v>5000</v>
      </c>
      <c r="F18" s="4">
        <v>10000</v>
      </c>
      <c r="G18" s="4">
        <v>5000</v>
      </c>
      <c r="H18" s="4">
        <v>6000</v>
      </c>
      <c r="I18" s="4">
        <v>600</v>
      </c>
      <c r="J18" s="4">
        <v>400</v>
      </c>
      <c r="K18" s="4">
        <f t="shared" si="0"/>
        <v>42000</v>
      </c>
      <c r="L18" s="3">
        <v>50000</v>
      </c>
    </row>
    <row r="19" spans="1:12" x14ac:dyDescent="0.3">
      <c r="A19" s="7" t="s">
        <v>14</v>
      </c>
      <c r="B19" s="4">
        <v>8000</v>
      </c>
      <c r="C19" s="4">
        <v>10000</v>
      </c>
      <c r="D19" s="4">
        <v>5000</v>
      </c>
      <c r="E19" s="4">
        <v>5000</v>
      </c>
      <c r="F19" s="4">
        <v>10000</v>
      </c>
      <c r="G19" s="4">
        <v>5000</v>
      </c>
      <c r="H19" s="4">
        <v>6000</v>
      </c>
      <c r="I19" s="4">
        <v>600</v>
      </c>
      <c r="J19" s="4">
        <v>400</v>
      </c>
      <c r="K19" s="4">
        <f t="shared" si="0"/>
        <v>42000</v>
      </c>
      <c r="L19" s="3">
        <v>50000</v>
      </c>
    </row>
    <row r="20" spans="1:12" x14ac:dyDescent="0.3">
      <c r="A20" s="7" t="s">
        <v>15</v>
      </c>
      <c r="B20" s="4">
        <v>8000</v>
      </c>
      <c r="C20" s="4">
        <v>10000</v>
      </c>
      <c r="D20" s="4">
        <v>5000</v>
      </c>
      <c r="E20" s="4">
        <v>5000</v>
      </c>
      <c r="F20" s="4">
        <v>10000</v>
      </c>
      <c r="G20" s="4">
        <v>5000</v>
      </c>
      <c r="H20" s="4">
        <v>6000</v>
      </c>
      <c r="I20" s="4">
        <v>600</v>
      </c>
      <c r="J20" s="4">
        <v>400</v>
      </c>
      <c r="K20" s="4">
        <f t="shared" si="0"/>
        <v>42000</v>
      </c>
      <c r="L20" s="3">
        <v>50000</v>
      </c>
    </row>
    <row r="21" spans="1:12" x14ac:dyDescent="0.3">
      <c r="A21" s="7" t="s">
        <v>16</v>
      </c>
      <c r="B21" s="4">
        <v>8000</v>
      </c>
      <c r="C21" s="4">
        <v>10000</v>
      </c>
      <c r="D21" s="4">
        <v>5000</v>
      </c>
      <c r="E21" s="4">
        <v>5000</v>
      </c>
      <c r="F21" s="4">
        <v>10000</v>
      </c>
      <c r="G21" s="4">
        <v>5000</v>
      </c>
      <c r="H21" s="4">
        <v>6000</v>
      </c>
      <c r="I21" s="4">
        <v>600</v>
      </c>
      <c r="J21" s="4">
        <v>400</v>
      </c>
      <c r="K21" s="4">
        <f t="shared" si="0"/>
        <v>42000</v>
      </c>
      <c r="L21" s="3">
        <v>50000</v>
      </c>
    </row>
    <row r="22" spans="1:12" x14ac:dyDescent="0.3">
      <c r="A22" s="7" t="s">
        <v>17</v>
      </c>
      <c r="B22" s="4">
        <v>8000</v>
      </c>
      <c r="C22" s="4">
        <v>10000</v>
      </c>
      <c r="D22" s="4">
        <v>5000</v>
      </c>
      <c r="E22" s="4">
        <v>5000</v>
      </c>
      <c r="F22" s="4">
        <v>10000</v>
      </c>
      <c r="G22" s="4">
        <v>5000</v>
      </c>
      <c r="H22" s="4">
        <v>6000</v>
      </c>
      <c r="I22" s="4">
        <v>600</v>
      </c>
      <c r="J22" s="4">
        <v>400</v>
      </c>
      <c r="K22" s="4">
        <f t="shared" si="0"/>
        <v>42000</v>
      </c>
      <c r="L22" s="3">
        <v>50000</v>
      </c>
    </row>
    <row r="23" spans="1:12" x14ac:dyDescent="0.3">
      <c r="A23" s="7" t="s">
        <v>18</v>
      </c>
      <c r="B23" s="4">
        <v>8000</v>
      </c>
      <c r="C23" s="4">
        <v>10000</v>
      </c>
      <c r="D23" s="4">
        <v>5000</v>
      </c>
      <c r="E23" s="4">
        <v>5000</v>
      </c>
      <c r="F23" s="4">
        <v>10000</v>
      </c>
      <c r="G23" s="4">
        <v>5000</v>
      </c>
      <c r="H23" s="4">
        <v>6000</v>
      </c>
      <c r="I23" s="4">
        <v>600</v>
      </c>
      <c r="J23" s="4">
        <v>400</v>
      </c>
      <c r="K23" s="4">
        <f t="shared" si="0"/>
        <v>42000</v>
      </c>
      <c r="L23" s="3">
        <v>50000</v>
      </c>
    </row>
    <row r="24" spans="1:12" x14ac:dyDescent="0.3">
      <c r="A24" s="7" t="s">
        <v>19</v>
      </c>
      <c r="B24" s="4">
        <v>8000</v>
      </c>
      <c r="C24" s="4">
        <v>10000</v>
      </c>
      <c r="D24" s="4">
        <v>5000</v>
      </c>
      <c r="E24" s="4">
        <v>5000</v>
      </c>
      <c r="F24" s="4">
        <v>10000</v>
      </c>
      <c r="G24" s="4">
        <v>5000</v>
      </c>
      <c r="H24" s="4">
        <v>6000</v>
      </c>
      <c r="I24" s="4">
        <v>600</v>
      </c>
      <c r="J24" s="4">
        <v>400</v>
      </c>
      <c r="K24" s="4">
        <f t="shared" si="0"/>
        <v>42000</v>
      </c>
      <c r="L24" s="3">
        <v>50000</v>
      </c>
    </row>
    <row r="25" spans="1:12" x14ac:dyDescent="0.3">
      <c r="A25" s="7" t="s">
        <v>20</v>
      </c>
      <c r="B25" s="4">
        <v>8000</v>
      </c>
      <c r="C25" s="4">
        <v>10000</v>
      </c>
      <c r="D25" s="4">
        <v>5000</v>
      </c>
      <c r="E25" s="4">
        <v>5000</v>
      </c>
      <c r="F25" s="4">
        <v>10000</v>
      </c>
      <c r="G25" s="4">
        <v>5000</v>
      </c>
      <c r="H25" s="4">
        <v>6000</v>
      </c>
      <c r="I25" s="4">
        <v>600</v>
      </c>
      <c r="J25" s="4">
        <v>400</v>
      </c>
      <c r="K25" s="4">
        <f t="shared" si="0"/>
        <v>42000</v>
      </c>
      <c r="L25" s="3">
        <v>50000</v>
      </c>
    </row>
    <row r="26" spans="1:12" x14ac:dyDescent="0.3">
      <c r="A26" s="7" t="s">
        <v>21</v>
      </c>
      <c r="B26" s="4">
        <v>8000</v>
      </c>
      <c r="C26" s="4">
        <v>10000</v>
      </c>
      <c r="D26" s="4">
        <v>5000</v>
      </c>
      <c r="E26" s="4">
        <v>5000</v>
      </c>
      <c r="F26" s="4">
        <v>10000</v>
      </c>
      <c r="G26" s="4">
        <v>5000</v>
      </c>
      <c r="H26" s="4">
        <v>6000</v>
      </c>
      <c r="I26" s="4">
        <v>600</v>
      </c>
      <c r="J26" s="4">
        <v>400</v>
      </c>
      <c r="K26" s="4">
        <f t="shared" si="0"/>
        <v>42000</v>
      </c>
      <c r="L26" s="3">
        <v>50000</v>
      </c>
    </row>
    <row r="27" spans="1:12" x14ac:dyDescent="0.3">
      <c r="A27" s="7" t="s">
        <v>22</v>
      </c>
      <c r="B27" s="4">
        <v>8000</v>
      </c>
      <c r="C27" s="4">
        <v>10000</v>
      </c>
      <c r="D27" s="4">
        <v>5000</v>
      </c>
      <c r="E27" s="4">
        <v>5000</v>
      </c>
      <c r="F27" s="4">
        <v>10000</v>
      </c>
      <c r="G27" s="4">
        <v>5000</v>
      </c>
      <c r="H27" s="4">
        <v>6000</v>
      </c>
      <c r="I27" s="4">
        <v>600</v>
      </c>
      <c r="J27" s="4">
        <v>400</v>
      </c>
      <c r="K27" s="4">
        <f t="shared" si="0"/>
        <v>42000</v>
      </c>
      <c r="L27" s="3">
        <v>50000</v>
      </c>
    </row>
    <row r="28" spans="1:12" x14ac:dyDescent="0.3">
      <c r="B28" s="5">
        <f>SUM(B4:B27)</f>
        <v>209000</v>
      </c>
      <c r="C28" s="6">
        <f t="shared" ref="C28:J28" si="1">SUM(C4:C27)</f>
        <v>241000</v>
      </c>
      <c r="D28" s="6">
        <f t="shared" si="1"/>
        <v>111500</v>
      </c>
      <c r="E28" s="6">
        <f t="shared" si="1"/>
        <v>120500</v>
      </c>
      <c r="F28" s="6">
        <f t="shared" si="1"/>
        <v>229000</v>
      </c>
      <c r="G28" s="4">
        <f t="shared" si="1"/>
        <v>121000</v>
      </c>
      <c r="H28" s="4">
        <f t="shared" si="1"/>
        <v>144000</v>
      </c>
      <c r="I28" s="4">
        <f t="shared" si="1"/>
        <v>14400</v>
      </c>
      <c r="J28" s="4">
        <f t="shared" si="1"/>
        <v>9600</v>
      </c>
    </row>
  </sheetData>
  <mergeCells count="1">
    <mergeCell ref="A1:M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 and chart</vt:lpstr>
      <vt:lpstr>Datas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RAVICHANDRAN</dc:creator>
  <cp:lastModifiedBy>DIVYA RAVICHANDRAN</cp:lastModifiedBy>
  <dcterms:created xsi:type="dcterms:W3CDTF">2026-01-26T15:56:53Z</dcterms:created>
  <dcterms:modified xsi:type="dcterms:W3CDTF">2026-01-26T16:52:02Z</dcterms:modified>
</cp:coreProperties>
</file>