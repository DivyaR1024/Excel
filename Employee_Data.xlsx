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EB01D69D-9F3C-42EB-974A-9E88A16EE43F}" xr6:coauthVersionLast="47" xr6:coauthVersionMax="47" xr10:uidLastSave="{00000000-0000-0000-0000-000000000000}"/>
  <bookViews>
    <workbookView xWindow="-108" yWindow="-108" windowWidth="23256" windowHeight="13896" xr2:uid="{0985445D-CB76-4FE1-A658-EE9E5C99A9A1}"/>
  </bookViews>
  <sheets>
    <sheet name="Employee_Data" sheetId="1" r:id="rId1"/>
    <sheet name="Salary Lookup" sheetId="2" r:id="rId2"/>
    <sheet name="Monthly Expe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  <c r="B15" i="3"/>
  <c r="B14" i="3"/>
  <c r="B13" i="3"/>
  <c r="C2" i="2"/>
  <c r="B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G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<sst xmlns="http://schemas.openxmlformats.org/spreadsheetml/2006/main" count="137" uniqueCount="102">
  <si>
    <t>Emp ID</t>
  </si>
  <si>
    <t>Name</t>
  </si>
  <si>
    <t>Department</t>
  </si>
  <si>
    <t>City</t>
  </si>
  <si>
    <t>Join Date</t>
  </si>
  <si>
    <t>Basic Salary</t>
  </si>
  <si>
    <t>E101</t>
  </si>
  <si>
    <t>Rahul</t>
  </si>
  <si>
    <t>IT</t>
  </si>
  <si>
    <t>Chennai</t>
  </si>
  <si>
    <t>E102</t>
  </si>
  <si>
    <t>Priya</t>
  </si>
  <si>
    <t>HR</t>
  </si>
  <si>
    <t>Bangalore</t>
  </si>
  <si>
    <t>E103</t>
  </si>
  <si>
    <t>Arjun</t>
  </si>
  <si>
    <t>Finance</t>
  </si>
  <si>
    <t>Mumbai</t>
  </si>
  <si>
    <t>E104</t>
  </si>
  <si>
    <t>Sneha</t>
  </si>
  <si>
    <t>Hyderabad</t>
  </si>
  <si>
    <t>E105</t>
  </si>
  <si>
    <t>Karthik</t>
  </si>
  <si>
    <t>Sales</t>
  </si>
  <si>
    <t>E106</t>
  </si>
  <si>
    <t>Ananya</t>
  </si>
  <si>
    <t>Marketing</t>
  </si>
  <si>
    <t>E107</t>
  </si>
  <si>
    <t>Suresh</t>
  </si>
  <si>
    <t>E108</t>
  </si>
  <si>
    <t>Kavya</t>
  </si>
  <si>
    <t>Coimbatore</t>
  </si>
  <si>
    <t>E109</t>
  </si>
  <si>
    <t>Ramesh</t>
  </si>
  <si>
    <t>Pune</t>
  </si>
  <si>
    <t>E110</t>
  </si>
  <si>
    <t>Divya</t>
  </si>
  <si>
    <t>Madurai</t>
  </si>
  <si>
    <t>E111</t>
  </si>
  <si>
    <t>Vignesh</t>
  </si>
  <si>
    <t>Trichy</t>
  </si>
  <si>
    <t>E112</t>
  </si>
  <si>
    <t>Pooja</t>
  </si>
  <si>
    <t>E113</t>
  </si>
  <si>
    <t>Manoj</t>
  </si>
  <si>
    <t>Operations</t>
  </si>
  <si>
    <t>E114</t>
  </si>
  <si>
    <t>Nisha</t>
  </si>
  <si>
    <t>E115</t>
  </si>
  <si>
    <t>Kiran</t>
  </si>
  <si>
    <t>E116</t>
  </si>
  <si>
    <t>Meena</t>
  </si>
  <si>
    <t>Salem</t>
  </si>
  <si>
    <t>E117</t>
  </si>
  <si>
    <t>Sanjay</t>
  </si>
  <si>
    <t>Noida</t>
  </si>
  <si>
    <t>E118</t>
  </si>
  <si>
    <t>Aishwarya</t>
  </si>
  <si>
    <t>Kochi</t>
  </si>
  <si>
    <t>E119</t>
  </si>
  <si>
    <t>Prakash</t>
  </si>
  <si>
    <t>Tirunelveli</t>
  </si>
  <si>
    <t>E120</t>
  </si>
  <si>
    <t>Swathi</t>
  </si>
  <si>
    <t>Mysore</t>
  </si>
  <si>
    <t>E121</t>
  </si>
  <si>
    <t>Ajith</t>
  </si>
  <si>
    <t>E122</t>
  </si>
  <si>
    <t>Neha</t>
  </si>
  <si>
    <t>Delhi</t>
  </si>
  <si>
    <t>E123</t>
  </si>
  <si>
    <t>Balaji</t>
  </si>
  <si>
    <t>Erode</t>
  </si>
  <si>
    <t>E124</t>
  </si>
  <si>
    <t>Shruti</t>
  </si>
  <si>
    <t>E125</t>
  </si>
  <si>
    <t>Lokesh</t>
  </si>
  <si>
    <t>E126</t>
  </si>
  <si>
    <t>HRA</t>
  </si>
  <si>
    <t>PF</t>
  </si>
  <si>
    <t>Net Salary</t>
  </si>
  <si>
    <t>Salary Category</t>
  </si>
  <si>
    <t>ID</t>
  </si>
  <si>
    <t>NAME</t>
  </si>
  <si>
    <t>NET SALARY</t>
  </si>
  <si>
    <t>Amount</t>
  </si>
  <si>
    <t>Rent</t>
  </si>
  <si>
    <t>Grocery</t>
  </si>
  <si>
    <t>Travel</t>
  </si>
  <si>
    <t>Electricity</t>
  </si>
  <si>
    <t>Mobile</t>
  </si>
  <si>
    <t xml:space="preserve">Swiggy/Zomato </t>
  </si>
  <si>
    <t>Category</t>
  </si>
  <si>
    <t>Water Bill</t>
  </si>
  <si>
    <t>Internet/WiFi</t>
  </si>
  <si>
    <t>Gas Cylinder</t>
  </si>
  <si>
    <t xml:space="preserve">Netflix </t>
  </si>
  <si>
    <t xml:space="preserve">Medical </t>
  </si>
  <si>
    <t>Total Expenses</t>
  </si>
  <si>
    <t>Highest Expenses</t>
  </si>
  <si>
    <t>Lowest Expenses</t>
  </si>
  <si>
    <t>Full Record Detail About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</si>
</sst>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Times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6" fillId="3" borderId="0" xfId="0" applyFont="1" applyFill="1"/>
    <xf numFmtId="0" fontId="3" fillId="3" borderId="0" xfId="0" applyFont="1" applyFill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C889-4AF7-42B4-AA54-93F78D87C5AC}">
  <dimension ref="A1:K27"/>
  <sheetViews>
    <sheetView tabSelected="1" zoomScale="102" workbookViewId="0">
      <selection activeCell="F40" sqref="F40"/>
    </sheetView>
  </sheetViews>
  <sheetFormatPr defaultRowHeight="14.4" x14ac:dyDescent="0.3"/>
  <cols>
    <col min="1" max="1" width="8" customWidth="1"/>
    <col min="2" max="2" width="11.77734375" customWidth="1"/>
    <col min="3" max="3" width="16.33203125" customWidth="1"/>
    <col min="4" max="4" width="13" customWidth="1"/>
    <col min="5" max="5" width="15.33203125" customWidth="1"/>
    <col min="6" max="6" width="14.5546875" style="8" customWidth="1"/>
    <col min="7" max="7" width="14.109375" customWidth="1"/>
    <col min="8" max="8" width="13.44140625" customWidth="1"/>
    <col min="9" max="9" width="14.21875" customWidth="1"/>
    <col min="10" max="10" width="10.33203125" customWidth="1"/>
  </cols>
  <sheetData>
    <row r="1" spans="1:11" ht="2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78</v>
      </c>
      <c r="H1" s="6" t="s">
        <v>79</v>
      </c>
      <c r="I1" s="6" t="s">
        <v>80</v>
      </c>
      <c r="J1" s="6" t="s">
        <v>81</v>
      </c>
      <c r="K1" s="1"/>
    </row>
    <row r="2" spans="1:11" x14ac:dyDescent="0.3">
      <c r="A2" s="2" t="s">
        <v>6</v>
      </c>
      <c r="B2" s="2" t="s">
        <v>7</v>
      </c>
      <c r="C2" s="2" t="s">
        <v>8</v>
      </c>
      <c r="D2" s="2" t="s">
        <v>9</v>
      </c>
      <c r="E2" s="4">
        <v>44941</v>
      </c>
      <c r="F2" s="7">
        <v>35000</v>
      </c>
      <c r="G2" s="7">
        <f>F2*0.2</f>
        <v>7000</v>
      </c>
      <c r="H2" s="7">
        <f>F2*0.12</f>
        <v>4200</v>
      </c>
      <c r="I2" s="7">
        <f>F2+G2-H2</f>
        <v>37800</v>
      </c>
      <c r="J2" s="2" t="str">
        <f>IF(I2&gt;=40000,"High","Medium")</f>
        <v>Medium</v>
      </c>
      <c r="K2" s="4"/>
    </row>
    <row r="3" spans="1:11" x14ac:dyDescent="0.3">
      <c r="A3" s="2" t="s">
        <v>10</v>
      </c>
      <c r="B3" s="2" t="s">
        <v>11</v>
      </c>
      <c r="C3" s="2" t="s">
        <v>12</v>
      </c>
      <c r="D3" s="2" t="s">
        <v>13</v>
      </c>
      <c r="E3" s="4">
        <v>44630</v>
      </c>
      <c r="F3" s="7">
        <v>30000</v>
      </c>
      <c r="G3" s="7">
        <f t="shared" ref="G3:G26" si="0">F3*0.2</f>
        <v>6000</v>
      </c>
      <c r="H3" s="7">
        <f t="shared" ref="H3:H27" si="1">F3*0.12</f>
        <v>3600</v>
      </c>
      <c r="I3" s="7">
        <f t="shared" ref="I3:I27" si="2">F3+G3-H3</f>
        <v>32400</v>
      </c>
      <c r="J3" s="2" t="str">
        <f t="shared" ref="J3:J27" si="3">IF(I3&gt;=40000,"High","Medium")</f>
        <v>Medium</v>
      </c>
      <c r="K3" s="4"/>
    </row>
    <row r="4" spans="1:11" x14ac:dyDescent="0.3">
      <c r="A4" s="2" t="s">
        <v>14</v>
      </c>
      <c r="B4" s="2" t="s">
        <v>15</v>
      </c>
      <c r="C4" s="2" t="s">
        <v>16</v>
      </c>
      <c r="D4" s="2" t="s">
        <v>17</v>
      </c>
      <c r="E4" s="4">
        <v>44382</v>
      </c>
      <c r="F4" s="7">
        <v>42000</v>
      </c>
      <c r="G4" s="7">
        <f t="shared" si="0"/>
        <v>8400</v>
      </c>
      <c r="H4" s="7">
        <f t="shared" si="1"/>
        <v>5040</v>
      </c>
      <c r="I4" s="7">
        <f t="shared" si="2"/>
        <v>45360</v>
      </c>
      <c r="J4" s="2" t="str">
        <f t="shared" si="3"/>
        <v>High</v>
      </c>
      <c r="K4" s="4"/>
    </row>
    <row r="5" spans="1:11" x14ac:dyDescent="0.3">
      <c r="A5" s="2" t="s">
        <v>18</v>
      </c>
      <c r="B5" s="2" t="s">
        <v>19</v>
      </c>
      <c r="C5" s="2" t="s">
        <v>8</v>
      </c>
      <c r="D5" s="2" t="s">
        <v>20</v>
      </c>
      <c r="E5" s="4">
        <v>45250</v>
      </c>
      <c r="F5" s="7">
        <v>38000</v>
      </c>
      <c r="G5" s="7">
        <f t="shared" si="0"/>
        <v>7600</v>
      </c>
      <c r="H5" s="7">
        <f t="shared" si="1"/>
        <v>4560</v>
      </c>
      <c r="I5" s="7">
        <f t="shared" si="2"/>
        <v>41040</v>
      </c>
      <c r="J5" s="2" t="str">
        <f t="shared" si="3"/>
        <v>High</v>
      </c>
      <c r="K5" s="4"/>
    </row>
    <row r="6" spans="1:11" x14ac:dyDescent="0.3">
      <c r="A6" s="2" t="s">
        <v>21</v>
      </c>
      <c r="B6" s="2" t="s">
        <v>22</v>
      </c>
      <c r="C6" s="2" t="s">
        <v>23</v>
      </c>
      <c r="D6" s="2" t="s">
        <v>9</v>
      </c>
      <c r="E6" s="4">
        <v>43983</v>
      </c>
      <c r="F6" s="7">
        <v>28000</v>
      </c>
      <c r="G6" s="7">
        <f t="shared" si="0"/>
        <v>5600</v>
      </c>
      <c r="H6" s="7">
        <f t="shared" si="1"/>
        <v>3360</v>
      </c>
      <c r="I6" s="7">
        <f t="shared" si="2"/>
        <v>30240</v>
      </c>
      <c r="J6" s="2" t="str">
        <f t="shared" si="3"/>
        <v>Medium</v>
      </c>
      <c r="K6" s="4"/>
    </row>
    <row r="7" spans="1:11" x14ac:dyDescent="0.3">
      <c r="A7" s="2" t="s">
        <v>77</v>
      </c>
      <c r="B7" s="2" t="s">
        <v>36</v>
      </c>
      <c r="C7" s="2" t="s">
        <v>8</v>
      </c>
      <c r="D7" s="2" t="s">
        <v>9</v>
      </c>
      <c r="E7" s="4">
        <v>43952</v>
      </c>
      <c r="F7" s="7">
        <v>50000</v>
      </c>
      <c r="G7" s="7">
        <f t="shared" si="0"/>
        <v>10000</v>
      </c>
      <c r="H7" s="7">
        <f t="shared" si="1"/>
        <v>6000</v>
      </c>
      <c r="I7" s="7">
        <f t="shared" si="2"/>
        <v>54000</v>
      </c>
      <c r="J7" s="2" t="str">
        <f t="shared" si="3"/>
        <v>High</v>
      </c>
    </row>
    <row r="8" spans="1:11" x14ac:dyDescent="0.3">
      <c r="A8" s="2" t="s">
        <v>24</v>
      </c>
      <c r="B8" s="2" t="s">
        <v>25</v>
      </c>
      <c r="C8" s="2" t="s">
        <v>26</v>
      </c>
      <c r="D8" s="2" t="s">
        <v>13</v>
      </c>
      <c r="E8" s="4">
        <v>44239</v>
      </c>
      <c r="F8" s="7">
        <v>32000</v>
      </c>
      <c r="G8" s="7">
        <f t="shared" si="0"/>
        <v>6400</v>
      </c>
      <c r="H8" s="7">
        <f t="shared" si="1"/>
        <v>3840</v>
      </c>
      <c r="I8" s="7">
        <f t="shared" si="2"/>
        <v>34560</v>
      </c>
      <c r="J8" s="2" t="str">
        <f t="shared" si="3"/>
        <v>Medium</v>
      </c>
    </row>
    <row r="9" spans="1:11" x14ac:dyDescent="0.3">
      <c r="A9" s="2" t="s">
        <v>27</v>
      </c>
      <c r="B9" s="2" t="s">
        <v>28</v>
      </c>
      <c r="C9" s="2" t="s">
        <v>8</v>
      </c>
      <c r="D9" s="2" t="s">
        <v>9</v>
      </c>
      <c r="E9" s="4">
        <v>44791</v>
      </c>
      <c r="F9" s="7">
        <v>36000</v>
      </c>
      <c r="G9" s="7">
        <f t="shared" si="0"/>
        <v>7200</v>
      </c>
      <c r="H9" s="7">
        <f t="shared" si="1"/>
        <v>4320</v>
      </c>
      <c r="I9" s="7">
        <f t="shared" si="2"/>
        <v>38880</v>
      </c>
      <c r="J9" s="2" t="str">
        <f t="shared" si="3"/>
        <v>Medium</v>
      </c>
    </row>
    <row r="10" spans="1:11" x14ac:dyDescent="0.3">
      <c r="A10" s="2" t="s">
        <v>29</v>
      </c>
      <c r="B10" s="2" t="s">
        <v>30</v>
      </c>
      <c r="C10" s="2" t="s">
        <v>12</v>
      </c>
      <c r="D10" s="2" t="s">
        <v>31</v>
      </c>
      <c r="E10" s="4">
        <v>43855</v>
      </c>
      <c r="F10" s="7">
        <v>29000</v>
      </c>
      <c r="G10" s="7">
        <f t="shared" si="0"/>
        <v>5800</v>
      </c>
      <c r="H10" s="7">
        <f t="shared" si="1"/>
        <v>3480</v>
      </c>
      <c r="I10" s="7">
        <f t="shared" si="2"/>
        <v>31320</v>
      </c>
      <c r="J10" s="2" t="str">
        <f t="shared" si="3"/>
        <v>Medium</v>
      </c>
    </row>
    <row r="11" spans="1:11" x14ac:dyDescent="0.3">
      <c r="A11" s="2" t="s">
        <v>32</v>
      </c>
      <c r="B11" s="2" t="s">
        <v>33</v>
      </c>
      <c r="C11" s="2" t="s">
        <v>16</v>
      </c>
      <c r="D11" s="2" t="s">
        <v>34</v>
      </c>
      <c r="E11" s="4">
        <v>44448</v>
      </c>
      <c r="F11" s="7">
        <v>41000</v>
      </c>
      <c r="G11" s="7">
        <f t="shared" si="0"/>
        <v>8200</v>
      </c>
      <c r="H11" s="7">
        <f t="shared" si="1"/>
        <v>4920</v>
      </c>
      <c r="I11" s="7">
        <f t="shared" si="2"/>
        <v>44280</v>
      </c>
      <c r="J11" s="2" t="str">
        <f t="shared" si="3"/>
        <v>High</v>
      </c>
    </row>
    <row r="12" spans="1:11" x14ac:dyDescent="0.3">
      <c r="A12" s="2" t="s">
        <v>35</v>
      </c>
      <c r="B12" s="2" t="s">
        <v>36</v>
      </c>
      <c r="C12" s="2" t="s">
        <v>23</v>
      </c>
      <c r="D12" s="2" t="s">
        <v>37</v>
      </c>
      <c r="E12" s="4">
        <v>45060</v>
      </c>
      <c r="F12" s="7">
        <v>27000</v>
      </c>
      <c r="G12" s="7">
        <f t="shared" si="0"/>
        <v>5400</v>
      </c>
      <c r="H12" s="7">
        <f t="shared" si="1"/>
        <v>3240</v>
      </c>
      <c r="I12" s="7">
        <f t="shared" si="2"/>
        <v>29160</v>
      </c>
      <c r="J12" s="2" t="str">
        <f t="shared" si="3"/>
        <v>Medium</v>
      </c>
    </row>
    <row r="13" spans="1:11" x14ac:dyDescent="0.3">
      <c r="A13" s="2" t="s">
        <v>38</v>
      </c>
      <c r="B13" s="2" t="s">
        <v>39</v>
      </c>
      <c r="C13" s="2" t="s">
        <v>8</v>
      </c>
      <c r="D13" s="2" t="s">
        <v>40</v>
      </c>
      <c r="E13" s="4">
        <v>44895</v>
      </c>
      <c r="F13" s="7">
        <v>39000</v>
      </c>
      <c r="G13" s="7">
        <f t="shared" si="0"/>
        <v>7800</v>
      </c>
      <c r="H13" s="7">
        <f t="shared" si="1"/>
        <v>4680</v>
      </c>
      <c r="I13" s="7">
        <f t="shared" si="2"/>
        <v>42120</v>
      </c>
      <c r="J13" s="2" t="str">
        <f t="shared" si="3"/>
        <v>High</v>
      </c>
    </row>
    <row r="14" spans="1:11" x14ac:dyDescent="0.3">
      <c r="A14" s="2" t="s">
        <v>41</v>
      </c>
      <c r="B14" s="2" t="s">
        <v>42</v>
      </c>
      <c r="C14" s="2" t="s">
        <v>26</v>
      </c>
      <c r="D14" s="2" t="s">
        <v>17</v>
      </c>
      <c r="E14" s="4">
        <v>44019</v>
      </c>
      <c r="F14" s="7">
        <v>34000</v>
      </c>
      <c r="G14" s="7">
        <f t="shared" si="0"/>
        <v>6800</v>
      </c>
      <c r="H14" s="7">
        <f t="shared" si="1"/>
        <v>4080</v>
      </c>
      <c r="I14" s="7">
        <f t="shared" si="2"/>
        <v>36720</v>
      </c>
      <c r="J14" s="2" t="str">
        <f t="shared" si="3"/>
        <v>Medium</v>
      </c>
    </row>
    <row r="15" spans="1:11" x14ac:dyDescent="0.3">
      <c r="A15" s="2" t="s">
        <v>43</v>
      </c>
      <c r="B15" s="2" t="s">
        <v>44</v>
      </c>
      <c r="C15" s="2" t="s">
        <v>45</v>
      </c>
      <c r="D15" s="2" t="s">
        <v>9</v>
      </c>
      <c r="E15" s="4">
        <v>44274</v>
      </c>
      <c r="F15" s="7">
        <v>33000</v>
      </c>
      <c r="G15" s="7">
        <f t="shared" si="0"/>
        <v>6600</v>
      </c>
      <c r="H15" s="7">
        <f t="shared" si="1"/>
        <v>3960</v>
      </c>
      <c r="I15" s="7">
        <f t="shared" si="2"/>
        <v>35640</v>
      </c>
      <c r="J15" s="2" t="str">
        <f t="shared" si="3"/>
        <v>Medium</v>
      </c>
    </row>
    <row r="16" spans="1:11" x14ac:dyDescent="0.3">
      <c r="A16" s="2" t="s">
        <v>46</v>
      </c>
      <c r="B16" s="2" t="s">
        <v>47</v>
      </c>
      <c r="C16" s="2" t="s">
        <v>12</v>
      </c>
      <c r="D16" s="2" t="s">
        <v>20</v>
      </c>
      <c r="E16" s="4">
        <v>45099</v>
      </c>
      <c r="F16" s="7">
        <v>31000</v>
      </c>
      <c r="G16" s="7">
        <f t="shared" si="0"/>
        <v>6200</v>
      </c>
      <c r="H16" s="7">
        <f t="shared" si="1"/>
        <v>3720</v>
      </c>
      <c r="I16" s="7">
        <f t="shared" si="2"/>
        <v>33480</v>
      </c>
      <c r="J16" s="2" t="str">
        <f t="shared" si="3"/>
        <v>Medium</v>
      </c>
    </row>
    <row r="17" spans="1:10" x14ac:dyDescent="0.3">
      <c r="A17" s="2" t="s">
        <v>48</v>
      </c>
      <c r="B17" s="2" t="s">
        <v>49</v>
      </c>
      <c r="C17" s="2" t="s">
        <v>16</v>
      </c>
      <c r="D17" s="2" t="s">
        <v>13</v>
      </c>
      <c r="E17" s="4">
        <v>43749</v>
      </c>
      <c r="F17" s="7">
        <v>45000</v>
      </c>
      <c r="G17" s="7">
        <f t="shared" si="0"/>
        <v>9000</v>
      </c>
      <c r="H17" s="7">
        <f t="shared" si="1"/>
        <v>5400</v>
      </c>
      <c r="I17" s="7">
        <f t="shared" si="2"/>
        <v>48600</v>
      </c>
      <c r="J17" s="2" t="str">
        <f t="shared" si="3"/>
        <v>High</v>
      </c>
    </row>
    <row r="18" spans="1:10" x14ac:dyDescent="0.3">
      <c r="A18" s="2" t="s">
        <v>50</v>
      </c>
      <c r="B18" s="2" t="s">
        <v>51</v>
      </c>
      <c r="C18" s="2" t="s">
        <v>23</v>
      </c>
      <c r="D18" s="2" t="s">
        <v>52</v>
      </c>
      <c r="E18" s="4">
        <v>44655</v>
      </c>
      <c r="F18" s="7">
        <v>26000</v>
      </c>
      <c r="G18" s="7">
        <f t="shared" si="0"/>
        <v>5200</v>
      </c>
      <c r="H18" s="7">
        <f t="shared" si="1"/>
        <v>3120</v>
      </c>
      <c r="I18" s="7">
        <f t="shared" si="2"/>
        <v>28080</v>
      </c>
      <c r="J18" s="2" t="str">
        <f t="shared" si="3"/>
        <v>Medium</v>
      </c>
    </row>
    <row r="19" spans="1:10" x14ac:dyDescent="0.3">
      <c r="A19" s="2" t="s">
        <v>53</v>
      </c>
      <c r="B19" s="2" t="s">
        <v>54</v>
      </c>
      <c r="C19" s="2" t="s">
        <v>8</v>
      </c>
      <c r="D19" s="2" t="s">
        <v>55</v>
      </c>
      <c r="E19" s="4">
        <v>44212</v>
      </c>
      <c r="F19" s="7">
        <v>40000</v>
      </c>
      <c r="G19" s="7">
        <f t="shared" si="0"/>
        <v>8000</v>
      </c>
      <c r="H19" s="7">
        <f t="shared" si="1"/>
        <v>4800</v>
      </c>
      <c r="I19" s="7">
        <f t="shared" si="2"/>
        <v>43200</v>
      </c>
      <c r="J19" s="2" t="str">
        <f t="shared" si="3"/>
        <v>High</v>
      </c>
    </row>
    <row r="20" spans="1:10" x14ac:dyDescent="0.3">
      <c r="A20" s="2" t="s">
        <v>56</v>
      </c>
      <c r="B20" s="2" t="s">
        <v>57</v>
      </c>
      <c r="C20" s="2" t="s">
        <v>26</v>
      </c>
      <c r="D20" s="2" t="s">
        <v>58</v>
      </c>
      <c r="E20" s="4">
        <v>44801</v>
      </c>
      <c r="F20" s="7">
        <v>32500</v>
      </c>
      <c r="G20" s="7">
        <f t="shared" si="0"/>
        <v>6500</v>
      </c>
      <c r="H20" s="7">
        <f t="shared" si="1"/>
        <v>3900</v>
      </c>
      <c r="I20" s="7">
        <f t="shared" si="2"/>
        <v>35100</v>
      </c>
      <c r="J20" s="2" t="str">
        <f t="shared" si="3"/>
        <v>Medium</v>
      </c>
    </row>
    <row r="21" spans="1:10" x14ac:dyDescent="0.3">
      <c r="A21" s="2" t="s">
        <v>59</v>
      </c>
      <c r="B21" s="2" t="s">
        <v>60</v>
      </c>
      <c r="C21" s="2" t="s">
        <v>45</v>
      </c>
      <c r="D21" s="2" t="s">
        <v>61</v>
      </c>
      <c r="E21" s="4">
        <v>44178</v>
      </c>
      <c r="F21" s="7">
        <v>30000</v>
      </c>
      <c r="G21" s="7">
        <f t="shared" si="0"/>
        <v>6000</v>
      </c>
      <c r="H21" s="7">
        <f t="shared" si="1"/>
        <v>3600</v>
      </c>
      <c r="I21" s="7">
        <f t="shared" si="2"/>
        <v>32400</v>
      </c>
      <c r="J21" s="2" t="str">
        <f t="shared" si="3"/>
        <v>Medium</v>
      </c>
    </row>
    <row r="22" spans="1:10" x14ac:dyDescent="0.3">
      <c r="A22" s="2" t="s">
        <v>62</v>
      </c>
      <c r="B22" s="2" t="s">
        <v>63</v>
      </c>
      <c r="C22" s="2" t="s">
        <v>12</v>
      </c>
      <c r="D22" s="2" t="s">
        <v>64</v>
      </c>
      <c r="E22" s="4">
        <v>44248</v>
      </c>
      <c r="F22" s="7">
        <v>29500</v>
      </c>
      <c r="G22" s="7">
        <f t="shared" si="0"/>
        <v>5900</v>
      </c>
      <c r="H22" s="7">
        <f t="shared" si="1"/>
        <v>3540</v>
      </c>
      <c r="I22" s="7">
        <f t="shared" si="2"/>
        <v>31860</v>
      </c>
      <c r="J22" s="2" t="str">
        <f t="shared" si="3"/>
        <v>Medium</v>
      </c>
    </row>
    <row r="23" spans="1:10" x14ac:dyDescent="0.3">
      <c r="A23" s="2" t="s">
        <v>65</v>
      </c>
      <c r="B23" s="2" t="s">
        <v>66</v>
      </c>
      <c r="C23" s="2" t="s">
        <v>8</v>
      </c>
      <c r="D23" s="2" t="s">
        <v>13</v>
      </c>
      <c r="E23" s="4">
        <v>45083</v>
      </c>
      <c r="F23" s="7">
        <v>37000</v>
      </c>
      <c r="G23" s="7">
        <f t="shared" si="0"/>
        <v>7400</v>
      </c>
      <c r="H23" s="7">
        <f t="shared" si="1"/>
        <v>4440</v>
      </c>
      <c r="I23" s="7">
        <f t="shared" si="2"/>
        <v>39960</v>
      </c>
      <c r="J23" s="2" t="str">
        <f t="shared" si="3"/>
        <v>Medium</v>
      </c>
    </row>
    <row r="24" spans="1:10" x14ac:dyDescent="0.3">
      <c r="A24" s="2" t="s">
        <v>67</v>
      </c>
      <c r="B24" s="2" t="s">
        <v>68</v>
      </c>
      <c r="C24" s="2" t="s">
        <v>16</v>
      </c>
      <c r="D24" s="2" t="s">
        <v>69</v>
      </c>
      <c r="E24" s="4">
        <v>44821</v>
      </c>
      <c r="F24" s="7">
        <v>43000</v>
      </c>
      <c r="G24" s="7">
        <f t="shared" si="0"/>
        <v>8600</v>
      </c>
      <c r="H24" s="7">
        <f t="shared" si="1"/>
        <v>5160</v>
      </c>
      <c r="I24" s="7">
        <f t="shared" si="2"/>
        <v>46440</v>
      </c>
      <c r="J24" s="2" t="str">
        <f t="shared" si="3"/>
        <v>High</v>
      </c>
    </row>
    <row r="25" spans="1:10" x14ac:dyDescent="0.3">
      <c r="A25" s="2" t="s">
        <v>70</v>
      </c>
      <c r="B25" s="2" t="s">
        <v>71</v>
      </c>
      <c r="C25" s="2" t="s">
        <v>23</v>
      </c>
      <c r="D25" s="2" t="s">
        <v>72</v>
      </c>
      <c r="E25" s="4">
        <v>43832</v>
      </c>
      <c r="F25" s="7">
        <v>28500</v>
      </c>
      <c r="G25" s="7">
        <f t="shared" si="0"/>
        <v>5700</v>
      </c>
      <c r="H25" s="7">
        <f t="shared" si="1"/>
        <v>3420</v>
      </c>
      <c r="I25" s="7">
        <f t="shared" si="2"/>
        <v>30780</v>
      </c>
      <c r="J25" s="2" t="str">
        <f t="shared" si="3"/>
        <v>Medium</v>
      </c>
    </row>
    <row r="26" spans="1:10" x14ac:dyDescent="0.3">
      <c r="A26" s="2" t="s">
        <v>73</v>
      </c>
      <c r="B26" s="2" t="s">
        <v>74</v>
      </c>
      <c r="C26" s="2" t="s">
        <v>26</v>
      </c>
      <c r="D26" s="2" t="s">
        <v>34</v>
      </c>
      <c r="E26" s="4">
        <v>44401</v>
      </c>
      <c r="F26" s="7">
        <v>35000</v>
      </c>
      <c r="G26" s="7">
        <f t="shared" si="0"/>
        <v>7000</v>
      </c>
      <c r="H26" s="7">
        <f t="shared" si="1"/>
        <v>4200</v>
      </c>
      <c r="I26" s="7">
        <f t="shared" si="2"/>
        <v>37800</v>
      </c>
      <c r="J26" s="2" t="str">
        <f t="shared" si="3"/>
        <v>Medium</v>
      </c>
    </row>
    <row r="27" spans="1:10" x14ac:dyDescent="0.3">
      <c r="A27" s="2" t="s">
        <v>75</v>
      </c>
      <c r="B27" s="2" t="s">
        <v>76</v>
      </c>
      <c r="C27" s="2" t="s">
        <v>45</v>
      </c>
      <c r="D27" s="2" t="s">
        <v>9</v>
      </c>
      <c r="E27" s="4">
        <v>45000</v>
      </c>
      <c r="F27" s="7">
        <v>32000</v>
      </c>
      <c r="G27" s="7">
        <f>F27*0.2</f>
        <v>6400</v>
      </c>
      <c r="H27" s="7">
        <f t="shared" si="1"/>
        <v>3840</v>
      </c>
      <c r="I27" s="7">
        <f t="shared" si="2"/>
        <v>34560</v>
      </c>
      <c r="J27" s="2" t="str">
        <f t="shared" si="3"/>
        <v>Medium</v>
      </c>
    </row>
  </sheetData>
  <phoneticPr fontId="2" type="noConversion"/>
  <conditionalFormatting sqref="J2:J27">
    <cfRule type="containsText" dxfId="2" priority="1" operator="containsText" text="Medium">
      <formula>NOT(ISERROR(SEARCH("Medium",J2)))</formula>
    </cfRule>
    <cfRule type="containsText" dxfId="1" priority="3" operator="containsText" text="High">
      <formula>NOT(ISERROR(SEARCH("High",J2)))</formula>
    </cfRule>
  </conditionalFormatting>
  <conditionalFormatting sqref="M10">
    <cfRule type="containsText" dxfId="0" priority="2" operator="containsText" text="Medium">
      <formula>NOT(ISERROR(SEARCH("Medium",M10)))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ECFE-B577-4E87-B011-8F650C07B97B}">
  <dimension ref="A1:H8"/>
  <sheetViews>
    <sheetView workbookViewId="0">
      <selection activeCell="A18" sqref="A18"/>
    </sheetView>
  </sheetViews>
  <sheetFormatPr defaultRowHeight="14.4" x14ac:dyDescent="0.3"/>
  <cols>
    <col min="1" max="1" width="11.88671875" customWidth="1"/>
    <col min="2" max="2" width="13.88671875" customWidth="1"/>
    <col min="3" max="3" width="17.44140625" customWidth="1"/>
    <col min="4" max="4" width="10.33203125" bestFit="1" customWidth="1"/>
    <col min="5" max="5" width="10.44140625" bestFit="1" customWidth="1"/>
    <col min="6" max="6" width="11.6640625" customWidth="1"/>
    <col min="7" max="7" width="10.77734375" customWidth="1"/>
    <col min="8" max="8" width="12" customWidth="1"/>
  </cols>
  <sheetData>
    <row r="1" spans="1:8" x14ac:dyDescent="0.3">
      <c r="A1" s="16" t="s">
        <v>82</v>
      </c>
      <c r="B1" s="16" t="s">
        <v>83</v>
      </c>
      <c r="C1" s="16" t="s">
        <v>84</v>
      </c>
    </row>
    <row r="2" spans="1:8" x14ac:dyDescent="0.3">
      <c r="A2" t="s">
        <v>24</v>
      </c>
      <c r="B2" t="str">
        <f>_xlfn.XLOOKUP(TRIM(A2),Employee_Data!A2:A27,Employee_Data!B2:B27,"There is no employee in this ID")</f>
        <v>Ananya</v>
      </c>
      <c r="C2" s="8">
        <f>_xlfn.XLOOKUP(TRIM(A2),Employee_Data!A2:A27,Employee_Data!I2:I27,"There is no employee in this ID")</f>
        <v>34560</v>
      </c>
    </row>
    <row r="7" spans="1:8" x14ac:dyDescent="0.3">
      <c r="A7" s="15" t="s">
        <v>1</v>
      </c>
      <c r="B7" s="17" t="s">
        <v>101</v>
      </c>
      <c r="C7" s="17"/>
      <c r="D7" s="17"/>
      <c r="E7" s="17"/>
      <c r="F7" s="17"/>
      <c r="G7" s="17"/>
      <c r="H7" s="17"/>
    </row>
    <row r="8" spans="1:8" x14ac:dyDescent="0.3">
      <c r="A8" t="s">
        <v>30</v>
      </c>
      <c r="B8" t="str" cm="1">
        <f t="array" ref="B8:H8">_xlfn.XLOOKUP(TRIM(A8),Employee_Data!B2:B27,Employee_Data!C2:I27,"There is no Employee in this Name")</f>
        <v>HR</v>
      </c>
      <c r="C8" t="str">
        <v>Coimbatore</v>
      </c>
      <c r="D8" s="3">
        <v>43855</v>
      </c>
      <c r="E8" s="8">
        <v>29000</v>
      </c>
      <c r="F8" s="8">
        <v>5800</v>
      </c>
      <c r="G8" s="8">
        <v>3480</v>
      </c>
      <c r="H8" s="8">
        <v>31320</v>
      </c>
    </row>
  </sheetData>
  <mergeCells count="1">
    <mergeCell ref="B7:H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4E818E-5B8B-41D7-A4F8-2A002EC1BD75}">
          <x14:formula1>
            <xm:f>Employee_Data!$A$2:$A$27</xm:f>
          </x14:formula1>
          <xm:sqref>A2</xm:sqref>
        </x14:dataValidation>
        <x14:dataValidation type="list" allowBlank="1" showInputMessage="1" showErrorMessage="1" xr:uid="{5F577410-CDAE-41E0-A8BC-EF65E96EBC13}">
          <x14:formula1>
            <xm:f>Employee_Data!$B$2:$B$27</xm:f>
          </x14:formula1>
          <xm:sqref>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771F-65C3-4B0B-8A25-8C31D056D6B5}">
  <dimension ref="A1:E15"/>
  <sheetViews>
    <sheetView workbookViewId="0">
      <selection activeCell="E33" sqref="E33"/>
    </sheetView>
  </sheetViews>
  <sheetFormatPr defaultRowHeight="14.4" x14ac:dyDescent="0.3"/>
  <cols>
    <col min="1" max="1" width="22" customWidth="1"/>
    <col min="2" max="2" width="20.21875" customWidth="1"/>
    <col min="3" max="3" width="14.77734375" customWidth="1"/>
    <col min="4" max="4" width="15.109375" customWidth="1"/>
    <col min="5" max="5" width="12.44140625" customWidth="1"/>
  </cols>
  <sheetData>
    <row r="1" spans="1:5" ht="17.399999999999999" x14ac:dyDescent="0.3">
      <c r="A1" s="11" t="s">
        <v>92</v>
      </c>
      <c r="B1" s="11" t="s">
        <v>85</v>
      </c>
      <c r="C1" s="12"/>
      <c r="D1" s="12"/>
      <c r="E1" s="12"/>
    </row>
    <row r="2" spans="1:5" ht="15.6" x14ac:dyDescent="0.3">
      <c r="A2" s="9" t="s">
        <v>86</v>
      </c>
      <c r="B2" s="10">
        <v>12000</v>
      </c>
      <c r="C2" s="8"/>
      <c r="D2" s="8"/>
      <c r="E2" s="8"/>
    </row>
    <row r="3" spans="1:5" ht="15.6" x14ac:dyDescent="0.3">
      <c r="A3" s="9" t="s">
        <v>87</v>
      </c>
      <c r="B3" s="10">
        <v>4500</v>
      </c>
    </row>
    <row r="4" spans="1:5" ht="15.6" x14ac:dyDescent="0.3">
      <c r="A4" s="9" t="s">
        <v>88</v>
      </c>
      <c r="B4" s="10">
        <v>3000</v>
      </c>
    </row>
    <row r="5" spans="1:5" ht="15.6" x14ac:dyDescent="0.3">
      <c r="A5" s="9" t="s">
        <v>89</v>
      </c>
      <c r="B5" s="10">
        <v>1800</v>
      </c>
    </row>
    <row r="6" spans="1:5" ht="15.6" x14ac:dyDescent="0.3">
      <c r="A6" s="9" t="s">
        <v>90</v>
      </c>
      <c r="B6" s="10">
        <v>699</v>
      </c>
    </row>
    <row r="7" spans="1:5" ht="15.6" x14ac:dyDescent="0.3">
      <c r="A7" s="9" t="s">
        <v>91</v>
      </c>
      <c r="B7" s="10">
        <v>2200</v>
      </c>
    </row>
    <row r="8" spans="1:5" ht="15.6" x14ac:dyDescent="0.3">
      <c r="A8" s="9" t="s">
        <v>93</v>
      </c>
      <c r="B8" s="10">
        <v>500</v>
      </c>
    </row>
    <row r="9" spans="1:5" ht="15.6" x14ac:dyDescent="0.3">
      <c r="A9" s="9" t="s">
        <v>94</v>
      </c>
      <c r="B9" s="10">
        <v>999</v>
      </c>
    </row>
    <row r="10" spans="1:5" ht="15.6" x14ac:dyDescent="0.3">
      <c r="A10" s="9" t="s">
        <v>95</v>
      </c>
      <c r="B10" s="10">
        <v>1100</v>
      </c>
    </row>
    <row r="11" spans="1:5" ht="15.6" x14ac:dyDescent="0.3">
      <c r="A11" s="9" t="s">
        <v>96</v>
      </c>
      <c r="B11" s="10">
        <v>499</v>
      </c>
    </row>
    <row r="12" spans="1:5" ht="15.6" x14ac:dyDescent="0.3">
      <c r="A12" s="9" t="s">
        <v>97</v>
      </c>
      <c r="B12" s="10">
        <v>800</v>
      </c>
    </row>
    <row r="13" spans="1:5" ht="39" customHeight="1" thickBot="1" x14ac:dyDescent="0.35">
      <c r="A13" s="13" t="s">
        <v>98</v>
      </c>
      <c r="B13" s="8">
        <f>SUM(B2:B12)</f>
        <v>28097</v>
      </c>
    </row>
    <row r="14" spans="1:5" ht="44.4" customHeight="1" thickBot="1" x14ac:dyDescent="0.35">
      <c r="A14" s="14" t="s">
        <v>99</v>
      </c>
      <c r="B14" s="8">
        <f>MAX(B2:B12)</f>
        <v>12000</v>
      </c>
    </row>
    <row r="15" spans="1:5" ht="42.6" customHeight="1" thickBot="1" x14ac:dyDescent="0.35">
      <c r="A15" s="13" t="s">
        <v>100</v>
      </c>
      <c r="B15" s="8">
        <f>MIN(B2:B12)</f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Salary Lookup</vt:lpstr>
      <vt:lpstr>Monthly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RAVICHANDRAN</dc:creator>
  <cp:lastModifiedBy>DIVYA RAVICHANDRAN</cp:lastModifiedBy>
  <dcterms:created xsi:type="dcterms:W3CDTF">2026-01-29T16:50:32Z</dcterms:created>
  <dcterms:modified xsi:type="dcterms:W3CDTF">2026-01-29T18:16:40Z</dcterms:modified>
</cp:coreProperties>
</file>